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wapn\Microsoft-Excel\"/>
    </mc:Choice>
  </mc:AlternateContent>
  <xr:revisionPtr revIDLastSave="0" documentId="13_ncr:1_{BAF8C9C2-22EC-4C3A-B1FB-019C7B4B6C3B}" xr6:coauthVersionLast="47" xr6:coauthVersionMax="47" xr10:uidLastSave="{00000000-0000-0000-0000-000000000000}"/>
  <bookViews>
    <workbookView xWindow="-108" yWindow="-108" windowWidth="23256" windowHeight="12456" activeTab="3" xr2:uid="{1E673C37-F8F2-44B0-9DEE-6D86CB5B6D16}"/>
  </bookViews>
  <sheets>
    <sheet name="Sheet3" sheetId="5" r:id="rId1"/>
    <sheet name="Sheet4" sheetId="6" r:id="rId2"/>
    <sheet name="Sheet2" sheetId="2" r:id="rId3"/>
    <sheet name="Sheet1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<sst xmlns="http://schemas.openxmlformats.org/spreadsheetml/2006/main" count="95" uniqueCount="32">
  <si>
    <t xml:space="preserve">id </t>
  </si>
  <si>
    <t>name</t>
  </si>
  <si>
    <t>gender</t>
  </si>
  <si>
    <t>dept</t>
  </si>
  <si>
    <t>country</t>
  </si>
  <si>
    <t>salary</t>
  </si>
  <si>
    <t>incentive</t>
  </si>
  <si>
    <t>bonuss</t>
  </si>
  <si>
    <t>john</t>
  </si>
  <si>
    <t>smith</t>
  </si>
  <si>
    <t>alis</t>
  </si>
  <si>
    <t>male</t>
  </si>
  <si>
    <t>female</t>
  </si>
  <si>
    <t>swift</t>
  </si>
  <si>
    <t>marco</t>
  </si>
  <si>
    <t>jancy</t>
  </si>
  <si>
    <t>barandon</t>
  </si>
  <si>
    <t>rahul</t>
  </si>
  <si>
    <t>kavita</t>
  </si>
  <si>
    <t>angel</t>
  </si>
  <si>
    <t>AB</t>
  </si>
  <si>
    <t>BC</t>
  </si>
  <si>
    <t>CD</t>
  </si>
  <si>
    <t>India</t>
  </si>
  <si>
    <t>US</t>
  </si>
  <si>
    <t>China</t>
  </si>
  <si>
    <t>Total Salary</t>
  </si>
  <si>
    <t>Sum of Total Salary</t>
  </si>
  <si>
    <t>Grand Total</t>
  </si>
  <si>
    <t>Gender</t>
  </si>
  <si>
    <t>Average of Total Salary</t>
  </si>
  <si>
    <t>Sales Live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</si>
</sst>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48"/>
      <color theme="5" tint="0.399975585192419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1" xfId="0" applyNumberFormat="1" applyBorder="1"/>
    <xf numFmtId="0" fontId="0" fillId="4" borderId="0" xfId="0" applyFill="1"/>
  </cellXfs>
  <cellStyles count="1">
    <cellStyle name="Normal" xfId="0" builtinId="0"/>
  </cellStyles>
  <dxfs count="10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[Excel_fourth.xlsx]Sheet2!PivotTable3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94-42BF-B5F7-32CE1B1D02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94-42BF-B5F7-32CE1B1D02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2B-48E2-9CE3-557E1E77C4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Sheet2!$A$14:$A$17</c:f>
              <c:strCache>
                <c:ptCount val="3"/>
                <c:pt idx="0">
                  <c:v>India</c:v>
                </c:pt>
                <c:pt idx="1">
                  <c:v>US</c:v>
                </c:pt>
                <c:pt idx="2">
                  <c:v>China</c:v>
                </c:pt>
              </c:strCache>
            </c:strRef>
          </c:cat>
          <c:val>
            <c:numRef>
              <c:f>Sheet2!$B$14:$B$17</c:f>
              <c:numCache>
                <c:formatCode>General</c:formatCode>
                <c:ptCount val="3"/>
                <c:pt idx="0">
                  <c:v>98450</c:v>
                </c:pt>
                <c:pt idx="1">
                  <c:v>89066.666666666672</c:v>
                </c:pt>
                <c:pt idx="2">
                  <c:v>74100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94-42BF-B5F7-32CE1B1D02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[Excel_fourth.xlsx]Sheet3!PivotTable9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Sheet3!$G$2:$G$4</c:f>
              <c:strCache>
                <c:ptCount val="3"/>
                <c:pt idx="0">
                  <c:v>AB</c:v>
                </c:pt>
                <c:pt idx="1">
                  <c:v>BC</c:v>
                </c:pt>
                <c:pt idx="2">
                  <c:v>CD</c:v>
                </c:pt>
              </c:strCache>
            </c:strRef>
          </c:cat>
          <c:val>
            <c:numRef>
              <c:f>Sheet3!$H$2:$H$4</c:f>
              <c:numCache>
                <c:formatCode>General</c:formatCode>
                <c:ptCount val="3"/>
                <c:pt idx="0">
                  <c:v>393800</c:v>
                </c:pt>
                <c:pt idx="1">
                  <c:v>267200</c:v>
                </c:pt>
                <c:pt idx="2">
                  <c:v>222300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4-415D-AEAB-ABD8747A56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0408591"/>
        <c:axId val="540414831"/>
      </c:barChart>
      <c:catAx>
        <c:axId val="540408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14831"/>
        <c:crosses val="autoZero"/>
        <c:auto val="1"/>
        <c:lblAlgn val="ctr"/>
        <c:lblOffset val="100"/>
        <c:noMultiLvlLbl val="0"/>
      </c:catAx>
      <c:valAx>
        <c:axId val="54041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0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[Excel_fourth.xlsx]Sheet3!PivotTable12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Department</a:t>
            </a:r>
            <a:r>
              <a:rPr lang="en-US" sz="800" baseline="0"/>
              <a:t> Wise Employee Salary </a:t>
            </a:r>
            <a:endParaRPr lang="en-US" sz="800"/>
          </a:p>
        </c:rich>
      </c:tx>
      <c:layout>
        <c:manualLayout>
          <c:xMode val="edge"/>
          <c:yMode val="edge"/>
          <c:x val="0.17042545994399866"/>
          <c:y val="0.27118485189351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Sheet3!$G$15:$G$17</c:f>
              <c:strCache>
                <c:ptCount val="3"/>
                <c:pt idx="0">
                  <c:v>alis</c:v>
                </c:pt>
                <c:pt idx="1">
                  <c:v>jancy</c:v>
                </c:pt>
                <c:pt idx="2">
                  <c:v>kavita</c:v>
                </c:pt>
              </c:strCache>
            </c:strRef>
          </c:cat>
          <c:val>
            <c:numRef>
              <c:f>Sheet3!$H$15:$H$17</c:f>
              <c:numCache>
                <c:formatCode>General</c:formatCode>
                <c:ptCount val="3"/>
                <c:pt idx="0">
                  <c:v>74200</c:v>
                </c:pt>
                <c:pt idx="1">
                  <c:v>72700</c:v>
                </c:pt>
                <c:pt idx="2">
                  <c:v>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1-4EEE-B34F-AEBA4D53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82719"/>
        <c:axId val="541683679"/>
      </c:barChart>
      <c:catAx>
        <c:axId val="54168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83679"/>
        <c:crosses val="autoZero"/>
        <c:auto val="1"/>
        <c:lblAlgn val="ctr"/>
        <c:lblOffset val="100"/>
        <c:noMultiLvlLbl val="0"/>
      </c:catAx>
      <c:valAx>
        <c:axId val="54168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8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[Excel_fourth.xlsx]Sheet3!PivotTable7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FBE-4F1B-A0B8-8A07BC827D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FBE-4F1B-A0B8-8A07BC827D8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FBE-4F1B-A0B8-8A07BC827D8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FBE-4F1B-A0B8-8A07BC827D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2"/>
                <c:pt idx="0">
                  <c:v>99400</c:v>
                </c:pt>
                <c:pt idx="1">
                  <c:v>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E-4F1B-A0B8-8A07BC827D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[Excel_fourth.xlsx]Sheet3!PivotTable8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Sheet3!$A$13:$A$15</c:f>
              <c:strCache>
                <c:ptCount val="3"/>
                <c:pt idx="0">
                  <c:v>India</c:v>
                </c:pt>
                <c:pt idx="1">
                  <c:v>US</c:v>
                </c:pt>
                <c:pt idx="2">
                  <c:v>China</c:v>
                </c:pt>
              </c:strCache>
            </c:strRef>
          </c:cat>
          <c:val>
            <c:numRef>
              <c:f>Sheet3!$B$13:$B$15</c:f>
              <c:numCache>
                <c:formatCode>General</c:formatCode>
                <c:ptCount val="3"/>
                <c:pt idx="0">
                  <c:v>98450</c:v>
                </c:pt>
                <c:pt idx="1">
                  <c:v>89066.666666666672</c:v>
                </c:pt>
                <c:pt idx="2">
                  <c:v>74100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A-41DC-9B74-9A5D71E047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9194495"/>
        <c:axId val="379196895"/>
        <c:axId val="0"/>
      </c:bar3DChart>
      <c:catAx>
        <c:axId val="37919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6895"/>
        <c:crosses val="autoZero"/>
        <c:auto val="1"/>
        <c:lblAlgn val="ctr"/>
        <c:lblOffset val="100"/>
        <c:noMultiLvlLbl val="0"/>
      </c:catAx>
      <c:valAx>
        <c:axId val="37919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121920</xdr:colOff>
      <xdr:row>5</xdr:row>
      <xdr:rowOff>76200</xdr:rowOff>
    </xdr:from>
    <xdr:to>
      <xdr:col>14</xdr:col>
      <xdr:colOff>289560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0A734-BD54-45BD-BD10-2E136F322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350520</xdr:colOff>
      <xdr:row>5</xdr:row>
      <xdr:rowOff>83820</xdr:rowOff>
    </xdr:from>
    <xdr:to>
      <xdr:col>18</xdr:col>
      <xdr:colOff>388620</xdr:colOff>
      <xdr:row>16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6F937A-4B9E-4EC7-8C6F-78FE23E1F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563880</xdr:colOff>
      <xdr:row>5</xdr:row>
      <xdr:rowOff>53340</xdr:rowOff>
    </xdr:from>
    <xdr:to>
      <xdr:col>22</xdr:col>
      <xdr:colOff>601980</xdr:colOff>
      <xdr:row>16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1085BC-FD39-4309-8AE2-0624AF80D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160020</xdr:colOff>
      <xdr:row>4</xdr:row>
      <xdr:rowOff>160020</xdr:rowOff>
    </xdr:from>
    <xdr:to>
      <xdr:col>4</xdr:col>
      <xdr:colOff>365760</xdr:colOff>
      <xdr:row>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7D8631-F8BD-401A-853B-175375D69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579120</xdr:colOff>
      <xdr:row>5</xdr:row>
      <xdr:rowOff>22860</xdr:rowOff>
    </xdr:from>
    <xdr:to>
      <xdr:col>9</xdr:col>
      <xdr:colOff>480060</xdr:colOff>
      <xdr:row>16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678409-6104-434D-9028-3EE68078E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RAVINDRA PISAL" refreshedDate="46067.905285763889" createdVersion="8" refreshedVersion="8" minRefreshableVersion="3" recordCount="10" xr:uid="{77BEAD25-ECCC-401A-8586-A79511D699F8}">
  <cacheSource type="worksheet">
    <worksheetSource ref="A1:I11" sheet="Sheet1"/>
  </cacheSource>
  <cacheFields count="9">
    <cacheField name="id " numFmtId="0">
      <sharedItems containsSemiMixedTypes="0" containsString="0" containsNumber="1" containsInteger="1" minValue="1" maxValue="10"/>
    </cacheField>
    <cacheField name="name" numFmtId="0">
      <sharedItems count="10">
        <s v="john"/>
        <s v="smith"/>
        <s v="alis"/>
        <s v="swift"/>
        <s v="marco"/>
        <s v="jancy"/>
        <s v="barandon"/>
        <s v="rahul"/>
        <s v="kavita"/>
        <s v="angel"/>
      </sharedItems>
    </cacheField>
    <cacheField name="gender" numFmtId="0">
      <sharedItems count="2">
        <s v="male"/>
        <s v="female"/>
      </sharedItems>
    </cacheField>
    <cacheField name="dept" numFmtId="0">
      <sharedItems count="3">
        <s v="AB"/>
        <s v="BC"/>
        <s v="CD"/>
      </sharedItems>
    </cacheField>
    <cacheField name="country" numFmtId="0">
      <sharedItems count="3">
        <s v="India"/>
        <s v="US"/>
        <s v="China"/>
      </sharedItems>
    </cacheField>
    <cacheField name="salary" numFmtId="0">
      <sharedItems containsSemiMixedTypes="0" containsString="0" containsNumber="1" containsInteger="1" minValue="65000" maxValue="90000"/>
    </cacheField>
    <cacheField name="incentive" numFmtId="0">
      <sharedItems containsSemiMixedTypes="0" containsString="0" containsNumber="1" containsInteger="1" minValue="4000" maxValue="10000"/>
    </cacheField>
    <cacheField name="bonuss" numFmtId="0">
      <sharedItems containsSemiMixedTypes="0" containsString="0" containsNumber="1" containsInteger="1" minValue="1200" maxValue="2000"/>
    </cacheField>
    <cacheField name="Total Salary" numFmtId="0">
      <sharedItems containsSemiMixedTypes="0" containsString="0" containsNumber="1" containsInteger="1" minValue="72700" maxValue="10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x v="0"/>
    <x v="0"/>
    <n v="90000"/>
    <n v="5000"/>
    <n v="1500"/>
    <n v="96500"/>
  </r>
  <r>
    <n v="2"/>
    <x v="1"/>
    <x v="0"/>
    <x v="1"/>
    <x v="1"/>
    <n v="80000"/>
    <n v="10000"/>
    <n v="2000"/>
    <n v="92000"/>
  </r>
  <r>
    <n v="3"/>
    <x v="2"/>
    <x v="1"/>
    <x v="2"/>
    <x v="2"/>
    <n v="65000"/>
    <n v="8000"/>
    <n v="1200"/>
    <n v="74200"/>
  </r>
  <r>
    <n v="4"/>
    <x v="3"/>
    <x v="1"/>
    <x v="0"/>
    <x v="0"/>
    <n v="90000"/>
    <n v="6000"/>
    <n v="1300"/>
    <n v="97300"/>
  </r>
  <r>
    <n v="5"/>
    <x v="4"/>
    <x v="0"/>
    <x v="1"/>
    <x v="1"/>
    <n v="80000"/>
    <n v="4000"/>
    <n v="1600"/>
    <n v="85600"/>
  </r>
  <r>
    <n v="6"/>
    <x v="5"/>
    <x v="1"/>
    <x v="2"/>
    <x v="2"/>
    <n v="65000"/>
    <n v="6000"/>
    <n v="1700"/>
    <n v="72700"/>
  </r>
  <r>
    <n v="7"/>
    <x v="6"/>
    <x v="0"/>
    <x v="0"/>
    <x v="0"/>
    <n v="90000"/>
    <n v="7000"/>
    <n v="1500"/>
    <n v="98500"/>
  </r>
  <r>
    <n v="8"/>
    <x v="7"/>
    <x v="0"/>
    <x v="1"/>
    <x v="1"/>
    <n v="80000"/>
    <n v="8000"/>
    <n v="1600"/>
    <n v="89600"/>
  </r>
  <r>
    <n v="9"/>
    <x v="8"/>
    <x v="1"/>
    <x v="2"/>
    <x v="2"/>
    <n v="65000"/>
    <n v="9000"/>
    <n v="1400"/>
    <n v="75400"/>
  </r>
  <r>
    <n v="10"/>
    <x v="9"/>
    <x v="1"/>
    <x v="0"/>
    <x v="0"/>
    <n v="90000"/>
    <n v="10000"/>
    <n v="1500"/>
    <n v="10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4CEF2-0D38-4C2E-A8D6-C4D8CE64A01D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0" rowHeaderCaption="Gender">
  <location ref="A12:B15" firstHeaderRow="1" firstDataRow="1" firstDataCol="1"/>
  <pivotFields count="9">
    <pivotField showAll="0"/>
    <pivotField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3">
    <i>
      <x v="1"/>
    </i>
    <i>
      <x v="2"/>
    </i>
    <i>
      <x/>
    </i>
  </rowItems>
  <colItems count="1">
    <i/>
  </colItems>
  <dataFields count="1">
    <dataField name="Average of Total Salary" fld="8" subtotal="average" baseField="0" baseItem="0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4" type="button" dataOnly="0" labelOnly="1" outline="0" axis="axisRow" fieldPosition="0"/>
    </format>
    <format dxfId="77">
      <pivotArea dataOnly="0" labelOnly="1" fieldPosition="0">
        <references count="1">
          <reference field="4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A3779-CC05-4CF7-880A-373E9E2EB814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 rowHeaderCaption="Gender">
  <location ref="A3:B5" firstHeaderRow="1" firstDataRow="1" firstDataCol="1" rowPageCount="1" colPageCount="1"/>
  <pivotFields count="9">
    <pivotField showAll="0"/>
    <pivotField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2">
    <i>
      <x/>
    </i>
    <i>
      <x v="1"/>
    </i>
  </rowItems>
  <colItems count="1">
    <i/>
  </colItems>
  <pageFields count="1">
    <pageField fld="4" item="1" hier="-1"/>
  </pageFields>
  <dataFields count="1">
    <dataField name="Average of Total Salary" fld="8" subtotal="average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2" type="button" dataOnly="0" labelOnly="1" outline="0" axis="axisRow" fieldPosition="0"/>
    </format>
    <format dxfId="83">
      <pivotArea dataOnly="0" labelOnly="1" fieldPosition="0">
        <references count="1">
          <reference field="2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DA016-E55F-4038-9DC9-6A0D2CE2326D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Gender">
  <location ref="G14:H17" firstHeaderRow="1" firstDataRow="1" firstDataCol="1" rowPageCount="1" colPageCount="1"/>
  <pivotFields count="9">
    <pivotField showAll="0"/>
    <pivotField axis="axisRow"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3"/>
    </i>
    <i>
      <x v="5"/>
    </i>
  </rowItems>
  <colItems count="1">
    <i/>
  </colItems>
  <pageFields count="1">
    <pageField fld="3" item="2" hier="-1"/>
  </pageFields>
  <dataFields count="1">
    <dataField name="Average of Total Salary" fld="8" subtotal="average" baseField="0" baseItem="0"/>
  </dataFields>
  <formats count="8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2" type="button" dataOnly="0" labelOnly="1" outline="0"/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513EE-92AB-4048-8DE8-86795A2E786F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 rowHeaderCaption="Gender">
  <location ref="G1:H4" firstHeaderRow="1" firstDataRow="1" firstDataCol="1"/>
  <pivotFields count="9">
    <pivotField showAll="0"/>
    <pivotField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Total Salary" fld="8" baseField="0" baseItem="0"/>
  </dataFields>
  <formats count="6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3" type="button" dataOnly="0" labelOnly="1" outline="0" axis="axisRow" fieldPosition="0"/>
    </format>
    <format dxfId="97">
      <pivotArea dataOnly="0" labelOnly="1" fieldPosition="0">
        <references count="1">
          <reference field="3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CC441-AAB5-4E28-8E4D-D63DB1BEBC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Gender">
  <location ref="A13:B17" firstHeaderRow="1" firstDataRow="1" firstDataCol="1"/>
  <pivotFields count="9">
    <pivotField showAll="0"/>
    <pivotField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Total Salary" fld="8" subtotal="average" baseField="0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 axis="axisRow" fieldPosition="0"/>
    </format>
    <format dxfId="52">
      <pivotArea dataOnly="0" labelOnly="1" fieldPosition="0">
        <references count="1">
          <reference field="4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4"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7C9D0-6A34-415F-93B2-BAFFE8663F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Gender">
  <location ref="A3:B6" firstHeaderRow="1" firstDataRow="1" firstDataCol="1" rowPageCount="1" colPageCount="1"/>
  <pivotFields count="9">
    <pivotField showAll="0"/>
    <pivotField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4" item="1" hier="-1"/>
  </pageFields>
  <dataFields count="1">
    <dataField name="Average of Total Salary" fld="8" subtotal="average" baseField="0" baseItem="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FEA48-446B-40CF-BFE7-F1816DCB1C9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G3:H7" firstHeaderRow="1" firstDataRow="1" firstDataCol="1"/>
  <pivotFields count="9">
    <pivotField showAll="0"/>
    <pivotField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ary" fld="8" baseField="0" baseItem="0"/>
  </dataFields>
  <formats count="5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2" type="button" dataOnly="0" labelOnly="1" outline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3950C-63B5-4E5E-816D-65D749351B4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F15:F16" firstHeaderRow="1" firstDataRow="1" firstDataCol="0" rowPageCount="1" colPageCount="1"/>
  <pivotFields count="9">
    <pivotField showAll="0"/>
    <pivotField showAll="0">
      <items count="11">
        <item x="2"/>
        <item x="9"/>
        <item x="6"/>
        <item x="5"/>
        <item x="0"/>
        <item x="8"/>
        <item x="4"/>
        <item x="7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Items count="1">
    <i/>
  </rowItems>
  <colItems count="1">
    <i/>
  </colItems>
  <pageFields count="1">
    <pageField fld="3" item="0" hier="-1"/>
  </pageFields>
  <dataFields count="1">
    <dataField name="Average of Total Salary" fld="8" subtotal="average" baseField="0" baseItem="0"/>
  </dataFields>
  <formats count="8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2" type="button" dataOnly="0" labelOnly="1" outline="0"/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10FD-0966-49E3-8148-463CDDA054FC}">
  <dimension ref="A1:H17"/>
  <sheetViews>
    <sheetView workbookViewId="0">
      <selection activeCell="H2" sqref="H2"/>
    </sheetView>
  </sheetViews>
  <sheetFormatPr defaultRowHeight="14.4" x14ac:dyDescent="0.3"/>
  <cols>
    <col min="1" max="1" width="9.33203125" bestFit="1" customWidth="1"/>
    <col min="2" max="2" width="20.5546875" bestFit="1" customWidth="1"/>
    <col min="7" max="7" width="9.33203125" bestFit="1" customWidth="1"/>
    <col min="8" max="8" width="20.5546875" bestFit="1" customWidth="1"/>
  </cols>
  <sheetData>
    <row r="1" spans="1:8" x14ac:dyDescent="0.3">
      <c r="A1" s="3" t="s">
        <v>4</v>
      </c>
      <c r="B1" s="4" t="s">
        <v>23</v>
      </c>
      <c r="G1" s="3" t="s">
        <v>29</v>
      </c>
      <c r="H1" s="4" t="s">
        <v>27</v>
      </c>
    </row>
    <row r="2" spans="1:8" x14ac:dyDescent="0.3">
      <c r="A2" s="4"/>
      <c r="B2" s="4"/>
      <c r="G2" s="5" t="s">
        <v>20</v>
      </c>
      <c r="H2" s="4">
        <v>393800</v>
      </c>
    </row>
    <row r="3" spans="1:8" x14ac:dyDescent="0.3">
      <c r="A3" s="3" t="s">
        <v>29</v>
      </c>
      <c r="B3" s="4" t="s">
        <v>30</v>
      </c>
      <c r="G3" s="5" t="s">
        <v>21</v>
      </c>
      <c r="H3" s="4">
        <v>267200</v>
      </c>
    </row>
    <row r="4" spans="1:8" x14ac:dyDescent="0.3">
      <c r="A4" s="5" t="s">
        <v>12</v>
      </c>
      <c r="B4" s="7">
        <v>99400</v>
      </c>
      <c r="G4" s="5" t="s">
        <v>22</v>
      </c>
      <c r="H4" s="4">
        <v>222300</v>
      </c>
    </row>
    <row r="5" spans="1:8" x14ac:dyDescent="0.3">
      <c r="A5" s="5" t="s">
        <v>11</v>
      </c>
      <c r="B5" s="7">
        <v>97500</v>
      </c>
    </row>
    <row r="12" spans="1:8" x14ac:dyDescent="0.3">
      <c r="A12" s="3" t="s">
        <v>29</v>
      </c>
      <c r="B12" s="4" t="s">
        <v>30</v>
      </c>
      <c r="G12" s="3" t="s">
        <v>3</v>
      </c>
      <c r="H12" s="4" t="s">
        <v>22</v>
      </c>
    </row>
    <row r="13" spans="1:8" x14ac:dyDescent="0.3">
      <c r="A13" s="5" t="s">
        <v>23</v>
      </c>
      <c r="B13" s="7">
        <v>98450</v>
      </c>
      <c r="G13" s="4"/>
      <c r="H13" s="4"/>
    </row>
    <row r="14" spans="1:8" x14ac:dyDescent="0.3">
      <c r="A14" s="5" t="s">
        <v>24</v>
      </c>
      <c r="B14" s="7">
        <v>89066.666666666672</v>
      </c>
      <c r="G14" s="3" t="s">
        <v>29</v>
      </c>
      <c r="H14" s="4" t="s">
        <v>30</v>
      </c>
    </row>
    <row r="15" spans="1:8" x14ac:dyDescent="0.3">
      <c r="A15" s="5" t="s">
        <v>25</v>
      </c>
      <c r="B15" s="7">
        <v>74100</v>
      </c>
      <c r="G15" s="5" t="s">
        <v>10</v>
      </c>
      <c r="H15" s="7">
        <v>74200</v>
      </c>
    </row>
    <row r="16" spans="1:8" x14ac:dyDescent="0.3">
      <c r="G16" s="5" t="s">
        <v>15</v>
      </c>
      <c r="H16" s="7">
        <v>72700</v>
      </c>
    </row>
    <row r="17" spans="7:8" x14ac:dyDescent="0.3">
      <c r="G17" s="5" t="s">
        <v>18</v>
      </c>
      <c r="H17" s="7">
        <v>75400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A6DA-C69F-4EDC-9844-B134F5CF5063}">
  <dimension ref="A1:W4"/>
  <sheetViews>
    <sheetView showGridLines="0" workbookViewId="0">
      <selection activeCell="P20" sqref="P20"/>
    </sheetView>
  </sheetViews>
  <sheetFormatPr defaultRowHeight="14.4" x14ac:dyDescent="0.3"/>
  <cols>
    <col min="1" max="16384" width="8.88671875" style="8"/>
  </cols>
  <sheetData>
    <row r="1" spans="1:23" x14ac:dyDescent="0.3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</sheetData>
  <mergeCells count="1">
    <mergeCell ref="A1:W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D276-3E24-4BFC-BF77-3074B9577215}">
  <dimension ref="A1:H17"/>
  <sheetViews>
    <sheetView workbookViewId="0">
      <selection activeCell="A3" sqref="A3"/>
    </sheetView>
  </sheetViews>
  <sheetFormatPr defaultRowHeight="14.4" x14ac:dyDescent="0.3"/>
  <cols>
    <col min="1" max="1" width="10.77734375" bestFit="1" customWidth="1"/>
    <col min="2" max="2" width="20.5546875" bestFit="1" customWidth="1"/>
    <col min="3" max="3" width="9.21875" bestFit="1" customWidth="1"/>
    <col min="4" max="5" width="6" bestFit="1" customWidth="1"/>
    <col min="6" max="6" width="20.5546875" bestFit="1" customWidth="1"/>
    <col min="7" max="7" width="10.77734375" bestFit="1" customWidth="1"/>
    <col min="8" max="8" width="17.44140625" bestFit="1" customWidth="1"/>
    <col min="9" max="10" width="6" bestFit="1" customWidth="1"/>
    <col min="11" max="11" width="10.77734375" bestFit="1" customWidth="1"/>
    <col min="12" max="13" width="20.5546875" bestFit="1" customWidth="1"/>
    <col min="14" max="14" width="17.21875" bestFit="1" customWidth="1"/>
    <col min="15" max="15" width="25.44140625" bestFit="1" customWidth="1"/>
  </cols>
  <sheetData>
    <row r="1" spans="1:8" x14ac:dyDescent="0.3">
      <c r="A1" s="3" t="s">
        <v>4</v>
      </c>
      <c r="B1" s="4" t="s">
        <v>23</v>
      </c>
    </row>
    <row r="2" spans="1:8" x14ac:dyDescent="0.3">
      <c r="A2" s="4"/>
      <c r="B2" s="4"/>
      <c r="G2" s="4"/>
      <c r="H2" s="4"/>
    </row>
    <row r="3" spans="1:8" x14ac:dyDescent="0.3">
      <c r="A3" s="3" t="s">
        <v>29</v>
      </c>
      <c r="B3" s="4" t="s">
        <v>30</v>
      </c>
      <c r="G3" s="3" t="s">
        <v>29</v>
      </c>
      <c r="H3" s="4" t="s">
        <v>27</v>
      </c>
    </row>
    <row r="4" spans="1:8" x14ac:dyDescent="0.3">
      <c r="A4" s="5" t="s">
        <v>12</v>
      </c>
      <c r="B4" s="7">
        <v>99400</v>
      </c>
      <c r="G4" s="5" t="s">
        <v>20</v>
      </c>
      <c r="H4" s="4">
        <v>393800</v>
      </c>
    </row>
    <row r="5" spans="1:8" x14ac:dyDescent="0.3">
      <c r="A5" s="5" t="s">
        <v>11</v>
      </c>
      <c r="B5" s="7">
        <v>97500</v>
      </c>
      <c r="G5" s="5" t="s">
        <v>21</v>
      </c>
      <c r="H5" s="4">
        <v>267200</v>
      </c>
    </row>
    <row r="6" spans="1:8" x14ac:dyDescent="0.3">
      <c r="A6" s="5" t="s">
        <v>28</v>
      </c>
      <c r="B6" s="7">
        <v>98450</v>
      </c>
      <c r="G6" s="5" t="s">
        <v>22</v>
      </c>
      <c r="H6" s="4">
        <v>222300</v>
      </c>
    </row>
    <row r="7" spans="1:8" x14ac:dyDescent="0.3">
      <c r="G7" s="5" t="s">
        <v>28</v>
      </c>
      <c r="H7" s="4">
        <v>883300</v>
      </c>
    </row>
    <row r="13" spans="1:8" x14ac:dyDescent="0.3">
      <c r="A13" s="3" t="s">
        <v>29</v>
      </c>
      <c r="B13" s="4" t="s">
        <v>30</v>
      </c>
      <c r="F13" s="3" t="s">
        <v>3</v>
      </c>
      <c r="G13" s="4" t="s">
        <v>20</v>
      </c>
    </row>
    <row r="14" spans="1:8" x14ac:dyDescent="0.3">
      <c r="A14" s="5" t="s">
        <v>23</v>
      </c>
      <c r="B14" s="7">
        <v>98450</v>
      </c>
      <c r="F14" s="4"/>
      <c r="G14" s="4"/>
    </row>
    <row r="15" spans="1:8" x14ac:dyDescent="0.3">
      <c r="A15" s="5" t="s">
        <v>24</v>
      </c>
      <c r="B15" s="7">
        <v>89066.666666666672</v>
      </c>
      <c r="F15" s="4" t="s">
        <v>30</v>
      </c>
      <c r="G15" s="4"/>
    </row>
    <row r="16" spans="1:8" x14ac:dyDescent="0.3">
      <c r="A16" s="5" t="s">
        <v>25</v>
      </c>
      <c r="B16" s="7">
        <v>74100</v>
      </c>
      <c r="F16" s="4">
        <v>98450</v>
      </c>
      <c r="G16" s="4"/>
    </row>
    <row r="17" spans="1:2" x14ac:dyDescent="0.3">
      <c r="A17" s="5" t="s">
        <v>28</v>
      </c>
      <c r="B17" s="7">
        <v>88330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C442-7745-4083-8EE0-F41021BBA5CD}">
  <dimension ref="A1:I11"/>
  <sheetViews>
    <sheetView tabSelected="1" workbookViewId="0">
      <selection activeCell="M17" sqref="M17"/>
    </sheetView>
  </sheetViews>
  <sheetFormatPr defaultRowHeight="14.4" x14ac:dyDescent="0.3"/>
  <cols>
    <col min="1" max="1" width="3" bestFit="1" customWidth="1"/>
    <col min="2" max="2" width="8.77734375" bestFit="1" customWidth="1"/>
    <col min="3" max="3" width="6.6640625" bestFit="1" customWidth="1"/>
    <col min="4" max="4" width="4.6640625" bestFit="1" customWidth="1"/>
    <col min="5" max="5" width="7.21875" bestFit="1" customWidth="1"/>
    <col min="6" max="6" width="6" bestFit="1" customWidth="1"/>
    <col min="7" max="7" width="8.33203125" bestFit="1" customWidth="1"/>
    <col min="8" max="8" width="6.6640625" bestFit="1" customWidth="1"/>
    <col min="9" max="9" width="10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</row>
    <row r="2" spans="1:9" x14ac:dyDescent="0.3">
      <c r="A2" s="2">
        <v>1</v>
      </c>
      <c r="B2" s="2" t="s">
        <v>8</v>
      </c>
      <c r="C2" s="2" t="s">
        <v>11</v>
      </c>
      <c r="D2" s="2" t="s">
        <v>20</v>
      </c>
      <c r="E2" s="2" t="s">
        <v>23</v>
      </c>
      <c r="F2" s="2">
        <v>90000</v>
      </c>
      <c r="G2" s="2">
        <v>5000</v>
      </c>
      <c r="H2" s="2">
        <v>1500</v>
      </c>
      <c r="I2" s="2">
        <f>SUM(F2:H2)</f>
        <v>96500</v>
      </c>
    </row>
    <row r="3" spans="1:9" x14ac:dyDescent="0.3">
      <c r="A3" s="2">
        <v>2</v>
      </c>
      <c r="B3" s="2" t="s">
        <v>9</v>
      </c>
      <c r="C3" s="2" t="s">
        <v>11</v>
      </c>
      <c r="D3" s="2" t="s">
        <v>21</v>
      </c>
      <c r="E3" s="2" t="s">
        <v>24</v>
      </c>
      <c r="F3" s="2">
        <v>80000</v>
      </c>
      <c r="G3" s="2">
        <v>10000</v>
      </c>
      <c r="H3" s="2">
        <v>2000</v>
      </c>
      <c r="I3" s="2">
        <f t="shared" ref="I3:I11" si="0">SUM(F3:H3)</f>
        <v>92000</v>
      </c>
    </row>
    <row r="4" spans="1:9" x14ac:dyDescent="0.3">
      <c r="A4" s="2">
        <v>3</v>
      </c>
      <c r="B4" s="2" t="s">
        <v>10</v>
      </c>
      <c r="C4" s="2" t="s">
        <v>12</v>
      </c>
      <c r="D4" s="2" t="s">
        <v>22</v>
      </c>
      <c r="E4" s="2" t="s">
        <v>25</v>
      </c>
      <c r="F4" s="2">
        <v>65000</v>
      </c>
      <c r="G4" s="2">
        <v>8000</v>
      </c>
      <c r="H4" s="2">
        <v>1200</v>
      </c>
      <c r="I4" s="2">
        <f t="shared" si="0"/>
        <v>74200</v>
      </c>
    </row>
    <row r="5" spans="1:9" x14ac:dyDescent="0.3">
      <c r="A5" s="2">
        <v>4</v>
      </c>
      <c r="B5" s="2" t="s">
        <v>13</v>
      </c>
      <c r="C5" s="2" t="s">
        <v>12</v>
      </c>
      <c r="D5" s="2" t="s">
        <v>20</v>
      </c>
      <c r="E5" s="2" t="s">
        <v>23</v>
      </c>
      <c r="F5" s="2">
        <v>90000</v>
      </c>
      <c r="G5" s="2">
        <v>6000</v>
      </c>
      <c r="H5" s="2">
        <v>1300</v>
      </c>
      <c r="I5" s="2">
        <f t="shared" si="0"/>
        <v>97300</v>
      </c>
    </row>
    <row r="6" spans="1:9" x14ac:dyDescent="0.3">
      <c r="A6" s="2">
        <v>5</v>
      </c>
      <c r="B6" s="2" t="s">
        <v>14</v>
      </c>
      <c r="C6" s="2" t="s">
        <v>11</v>
      </c>
      <c r="D6" s="2" t="s">
        <v>21</v>
      </c>
      <c r="E6" s="2" t="s">
        <v>24</v>
      </c>
      <c r="F6" s="2">
        <v>80000</v>
      </c>
      <c r="G6" s="2">
        <v>4000</v>
      </c>
      <c r="H6" s="2">
        <v>1600</v>
      </c>
      <c r="I6" s="2">
        <f t="shared" si="0"/>
        <v>85600</v>
      </c>
    </row>
    <row r="7" spans="1:9" x14ac:dyDescent="0.3">
      <c r="A7" s="2">
        <v>6</v>
      </c>
      <c r="B7" s="2" t="s">
        <v>15</v>
      </c>
      <c r="C7" s="2" t="s">
        <v>12</v>
      </c>
      <c r="D7" s="2" t="s">
        <v>22</v>
      </c>
      <c r="E7" s="2" t="s">
        <v>25</v>
      </c>
      <c r="F7" s="2">
        <v>65000</v>
      </c>
      <c r="G7" s="2">
        <v>6000</v>
      </c>
      <c r="H7" s="2">
        <v>1700</v>
      </c>
      <c r="I7" s="2">
        <f t="shared" si="0"/>
        <v>72700</v>
      </c>
    </row>
    <row r="8" spans="1:9" x14ac:dyDescent="0.3">
      <c r="A8" s="2">
        <v>7</v>
      </c>
      <c r="B8" s="2" t="s">
        <v>16</v>
      </c>
      <c r="C8" s="2" t="s">
        <v>11</v>
      </c>
      <c r="D8" s="2" t="s">
        <v>20</v>
      </c>
      <c r="E8" s="2" t="s">
        <v>23</v>
      </c>
      <c r="F8" s="2">
        <v>90000</v>
      </c>
      <c r="G8" s="2">
        <v>7000</v>
      </c>
      <c r="H8" s="2">
        <v>1500</v>
      </c>
      <c r="I8" s="2">
        <f t="shared" si="0"/>
        <v>98500</v>
      </c>
    </row>
    <row r="9" spans="1:9" x14ac:dyDescent="0.3">
      <c r="A9" s="2">
        <v>8</v>
      </c>
      <c r="B9" s="2" t="s">
        <v>17</v>
      </c>
      <c r="C9" s="2" t="s">
        <v>11</v>
      </c>
      <c r="D9" s="2" t="s">
        <v>21</v>
      </c>
      <c r="E9" s="2" t="s">
        <v>24</v>
      </c>
      <c r="F9" s="2">
        <v>80000</v>
      </c>
      <c r="G9" s="2">
        <v>8000</v>
      </c>
      <c r="H9" s="2">
        <v>1600</v>
      </c>
      <c r="I9" s="2">
        <f t="shared" si="0"/>
        <v>89600</v>
      </c>
    </row>
    <row r="10" spans="1:9" x14ac:dyDescent="0.3">
      <c r="A10" s="2">
        <v>9</v>
      </c>
      <c r="B10" s="2" t="s">
        <v>18</v>
      </c>
      <c r="C10" s="2" t="s">
        <v>12</v>
      </c>
      <c r="D10" s="2" t="s">
        <v>22</v>
      </c>
      <c r="E10" s="2" t="s">
        <v>25</v>
      </c>
      <c r="F10" s="2">
        <v>65000</v>
      </c>
      <c r="G10" s="2">
        <v>9000</v>
      </c>
      <c r="H10" s="2">
        <v>1400</v>
      </c>
      <c r="I10" s="2">
        <f t="shared" si="0"/>
        <v>75400</v>
      </c>
    </row>
    <row r="11" spans="1:9" x14ac:dyDescent="0.3">
      <c r="A11" s="2">
        <v>10</v>
      </c>
      <c r="B11" s="2" t="s">
        <v>19</v>
      </c>
      <c r="C11" s="2" t="s">
        <v>12</v>
      </c>
      <c r="D11" s="2" t="s">
        <v>20</v>
      </c>
      <c r="E11" s="2" t="s">
        <v>23</v>
      </c>
      <c r="F11" s="2">
        <v>90000</v>
      </c>
      <c r="G11" s="2">
        <v>10000</v>
      </c>
      <c r="H11" s="2">
        <v>1500</v>
      </c>
      <c r="I11" s="2">
        <f t="shared" si="0"/>
        <v>101500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RAVINDRA PISAL</dc:creator>
  <cp:lastModifiedBy>SWAPNIL RAVINDRA PISAL</cp:lastModifiedBy>
  <dcterms:created xsi:type="dcterms:W3CDTF">2026-02-14T15:34:46Z</dcterms:created>
  <dcterms:modified xsi:type="dcterms:W3CDTF">2026-02-15T10:43:54Z</dcterms:modified>
</cp:coreProperties>
</file>