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pn\Microsoft-Excel\"/>
    </mc:Choice>
  </mc:AlternateContent>
  <xr:revisionPtr revIDLastSave="0" documentId="13_ncr:1_{7A2B4517-1A48-4F01-AC96-35E743DFD7DD}" xr6:coauthVersionLast="47" xr6:coauthVersionMax="47" xr10:uidLastSave="{00000000-0000-0000-0000-000000000000}"/>
  <bookViews>
    <workbookView xWindow="-108" yWindow="-108" windowWidth="23256" windowHeight="12456" xr2:uid="{DC504415-BC87-48C6-B466-BE15570F3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  <c r="X2" i="1"/>
  <c r="U2" i="1"/>
  <c r="T2" i="1"/>
  <c r="S3" i="1"/>
  <c r="S4" i="1"/>
  <c r="S2" i="1"/>
  <c r="I7" i="1"/>
  <c r="H7" i="1"/>
  <c r="G7" i="1"/>
  <c r="K3" i="1"/>
  <c r="K5" i="1"/>
  <c r="K6" i="1"/>
  <c r="K2" i="1"/>
  <c r="J3" i="1"/>
  <c r="J4" i="1"/>
  <c r="K4" i="1" s="1"/>
  <c r="J5" i="1"/>
  <c r="J6" i="1"/>
  <c r="J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<sst xmlns="http://schemas.openxmlformats.org/spreadsheetml/2006/main" count="58" uniqueCount="42">
  <si>
    <t>first name</t>
  </si>
  <si>
    <t>last name</t>
  </si>
  <si>
    <t>full name</t>
  </si>
  <si>
    <t>gmail</t>
  </si>
  <si>
    <t>aman</t>
  </si>
  <si>
    <t>kumar</t>
  </si>
  <si>
    <t>raghav</t>
  </si>
  <si>
    <t>singh</t>
  </si>
  <si>
    <t>komal</t>
  </si>
  <si>
    <t>gupta</t>
  </si>
  <si>
    <t>mayank</t>
  </si>
  <si>
    <t>mittal</t>
  </si>
  <si>
    <t>kiran</t>
  </si>
  <si>
    <t>kumari</t>
  </si>
  <si>
    <t>name</t>
  </si>
  <si>
    <t>hindi</t>
  </si>
  <si>
    <t>eng</t>
  </si>
  <si>
    <t>maths</t>
  </si>
  <si>
    <t>status</t>
  </si>
  <si>
    <t>a</t>
  </si>
  <si>
    <t>b</t>
  </si>
  <si>
    <t>c</t>
  </si>
  <si>
    <t>e</t>
  </si>
  <si>
    <t>h</t>
  </si>
  <si>
    <t>Total</t>
  </si>
  <si>
    <t>dept</t>
  </si>
  <si>
    <t>salary</t>
  </si>
  <si>
    <t>IT</t>
  </si>
  <si>
    <t>HR</t>
  </si>
  <si>
    <t>Finance</t>
  </si>
  <si>
    <t>Swapnil</t>
  </si>
  <si>
    <t>Avinash</t>
  </si>
  <si>
    <t>Vijay</t>
  </si>
  <si>
    <t>Vivek</t>
  </si>
  <si>
    <t>Atharv</t>
  </si>
  <si>
    <t>Tushar</t>
  </si>
  <si>
    <t>Suraj</t>
  </si>
  <si>
    <t>Seeta</t>
  </si>
  <si>
    <t>Geeta</t>
  </si>
  <si>
    <t>total_salary</t>
  </si>
  <si>
    <t>max_salary</t>
  </si>
  <si>
    <t>min_salary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</si>
</sst>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0" fillId="4" borderId="1" xfId="0" applyFill="1" applyBorder="1"/>
    <xf numFmtId="0" fontId="2" fillId="5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F8CD-80AB-48DC-82A3-E9A0CB5F268C}">
  <dimension ref="A1:X11"/>
  <sheetViews>
    <sheetView tabSelected="1" workbookViewId="0">
      <selection activeCell="K12" sqref="K12"/>
    </sheetView>
  </sheetViews>
  <sheetFormatPr defaultRowHeight="14.4" x14ac:dyDescent="0.3"/>
  <cols>
    <col min="1" max="1" width="9.21875" bestFit="1" customWidth="1"/>
    <col min="3" max="3" width="12.5546875" bestFit="1" customWidth="1"/>
    <col min="4" max="4" width="23.21875" bestFit="1" customWidth="1"/>
    <col min="6" max="6" width="5.5546875" bestFit="1" customWidth="1"/>
    <col min="7" max="7" width="4.88671875" bestFit="1" customWidth="1"/>
    <col min="8" max="8" width="12" bestFit="1" customWidth="1"/>
    <col min="9" max="9" width="6" bestFit="1" customWidth="1"/>
    <col min="10" max="10" width="5.21875" bestFit="1" customWidth="1"/>
    <col min="11" max="11" width="19.21875" bestFit="1" customWidth="1"/>
    <col min="13" max="14" width="7.21875" bestFit="1" customWidth="1"/>
    <col min="15" max="15" width="6" bestFit="1" customWidth="1"/>
    <col min="18" max="18" width="7.21875" bestFit="1" customWidth="1"/>
    <col min="19" max="19" width="10.6640625" bestFit="1" customWidth="1"/>
    <col min="20" max="20" width="10.21875" bestFit="1" customWidth="1"/>
    <col min="21" max="21" width="9.77734375" bestFit="1" customWidth="1"/>
    <col min="23" max="23" width="7.21875" bestFit="1" customWidth="1"/>
    <col min="24" max="24" width="10.6640625" bestFit="1" customWidth="1"/>
  </cols>
  <sheetData>
    <row r="1" spans="1:24" x14ac:dyDescent="0.3">
      <c r="A1" s="3" t="s">
        <v>0</v>
      </c>
      <c r="B1" s="3" t="s">
        <v>1</v>
      </c>
      <c r="C1" s="3" t="s">
        <v>2</v>
      </c>
      <c r="D1" s="3" t="s">
        <v>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24</v>
      </c>
      <c r="K1" s="4" t="s">
        <v>18</v>
      </c>
      <c r="M1" s="5" t="s">
        <v>14</v>
      </c>
      <c r="N1" s="5" t="s">
        <v>25</v>
      </c>
      <c r="O1" s="5" t="s">
        <v>26</v>
      </c>
      <c r="P1" s="7"/>
      <c r="R1" s="5" t="s">
        <v>25</v>
      </c>
      <c r="S1" s="5" t="s">
        <v>39</v>
      </c>
      <c r="T1" s="5" t="s">
        <v>40</v>
      </c>
      <c r="U1" s="5" t="s">
        <v>41</v>
      </c>
      <c r="W1" s="5" t="s">
        <v>25</v>
      </c>
      <c r="X1" s="5" t="s">
        <v>39</v>
      </c>
    </row>
    <row r="2" spans="1:24" x14ac:dyDescent="0.3">
      <c r="A2" s="2" t="s">
        <v>4</v>
      </c>
      <c r="B2" s="2" t="s">
        <v>5</v>
      </c>
      <c r="C2" s="1" t="str">
        <f>CONCATENATE(A2," ",B2)</f>
        <v>aman kumar</v>
      </c>
      <c r="D2" s="1" t="str">
        <f>CONCATENATE(A2,".",B2,"@gmail.com")</f>
        <v>aman.kumar@gmail.com</v>
      </c>
      <c r="F2" s="2" t="s">
        <v>19</v>
      </c>
      <c r="G2" s="2">
        <v>40</v>
      </c>
      <c r="H2" s="2">
        <v>56</v>
      </c>
      <c r="I2" s="2">
        <v>95</v>
      </c>
      <c r="J2" s="1">
        <f>SUM(G2:I2)</f>
        <v>191</v>
      </c>
      <c r="K2" s="1" t="str">
        <f>IF(J2&gt;200,"Excelleent",IF(J2&gt;150,"Good",IF(J2&lt;150,"Better Luck Next Time")))</f>
        <v>Good</v>
      </c>
      <c r="M2" s="2" t="s">
        <v>30</v>
      </c>
      <c r="N2" s="2" t="s">
        <v>27</v>
      </c>
      <c r="O2" s="2">
        <v>70000</v>
      </c>
      <c r="R2" s="1" t="s">
        <v>27</v>
      </c>
      <c r="S2" s="1">
        <f>SUMIF($N$2:$N$11,R2,$O$2:$O$11)</f>
        <v>350000</v>
      </c>
      <c r="T2" s="1">
        <f>MAX(S2:S4)</f>
        <v>350000</v>
      </c>
      <c r="U2" s="1">
        <f>MIN(S2:S4)</f>
        <v>80000</v>
      </c>
      <c r="W2" s="6" t="s">
        <v>29</v>
      </c>
      <c r="X2" s="6">
        <f>SUMIF(N2:N11,W2,O2:O11)</f>
        <v>180000</v>
      </c>
    </row>
    <row r="3" spans="1:24" x14ac:dyDescent="0.3">
      <c r="A3" s="2" t="s">
        <v>6</v>
      </c>
      <c r="B3" s="2" t="s">
        <v>7</v>
      </c>
      <c r="C3" s="1" t="str">
        <f t="shared" ref="C3:C6" si="0">CONCATENATE(A3," ",B3)</f>
        <v>raghav singh</v>
      </c>
      <c r="D3" s="1" t="str">
        <f t="shared" ref="D3:D6" si="1">CONCATENATE(A3,".",B3,"@gmail.com")</f>
        <v>raghav.singh@gmail.com</v>
      </c>
      <c r="F3" s="2" t="s">
        <v>20</v>
      </c>
      <c r="G3" s="2">
        <v>30</v>
      </c>
      <c r="H3" s="2">
        <v>66</v>
      </c>
      <c r="I3" s="2">
        <v>65</v>
      </c>
      <c r="J3" s="1">
        <f t="shared" ref="J3:J6" si="2">SUM(G3:I3)</f>
        <v>161</v>
      </c>
      <c r="K3" s="1" t="str">
        <f t="shared" ref="K3:K6" si="3">IF(J3&gt;200,"Excelleent",IF(J3&gt;150,"Good",IF(J3&lt;150,"Better Luck Next Time")))</f>
        <v>Good</v>
      </c>
      <c r="M3" s="2" t="s">
        <v>31</v>
      </c>
      <c r="N3" s="2" t="s">
        <v>28</v>
      </c>
      <c r="O3" s="2">
        <v>40000</v>
      </c>
      <c r="R3" s="1" t="s">
        <v>28</v>
      </c>
      <c r="S3" s="1">
        <f t="shared" ref="S3:S4" si="4">SUMIF($N$2:$N$11,R3,$O$2:$O$11)</f>
        <v>80000</v>
      </c>
      <c r="T3" s="1"/>
      <c r="U3" s="1"/>
    </row>
    <row r="4" spans="1:24" x14ac:dyDescent="0.3">
      <c r="A4" s="2" t="s">
        <v>8</v>
      </c>
      <c r="B4" s="2" t="s">
        <v>9</v>
      </c>
      <c r="C4" s="1" t="str">
        <f t="shared" si="0"/>
        <v>komal gupta</v>
      </c>
      <c r="D4" s="1" t="str">
        <f t="shared" si="1"/>
        <v>komal.gupta@gmail.com</v>
      </c>
      <c r="F4" s="2" t="s">
        <v>21</v>
      </c>
      <c r="G4" s="2">
        <v>25</v>
      </c>
      <c r="H4" s="2">
        <v>60</v>
      </c>
      <c r="I4" s="2">
        <v>55</v>
      </c>
      <c r="J4" s="1">
        <f t="shared" si="2"/>
        <v>140</v>
      </c>
      <c r="K4" s="1" t="str">
        <f t="shared" si="3"/>
        <v>Better Luck Next Time</v>
      </c>
      <c r="M4" s="2" t="s">
        <v>32</v>
      </c>
      <c r="N4" s="2" t="s">
        <v>29</v>
      </c>
      <c r="O4" s="2">
        <v>60000</v>
      </c>
      <c r="R4" s="1" t="s">
        <v>29</v>
      </c>
      <c r="S4" s="1">
        <f t="shared" si="4"/>
        <v>180000</v>
      </c>
      <c r="T4" s="1"/>
      <c r="U4" s="1"/>
    </row>
    <row r="5" spans="1:24" x14ac:dyDescent="0.3">
      <c r="A5" s="2" t="s">
        <v>10</v>
      </c>
      <c r="B5" s="2" t="s">
        <v>11</v>
      </c>
      <c r="C5" s="1" t="str">
        <f t="shared" si="0"/>
        <v>mayank mittal</v>
      </c>
      <c r="D5" s="1" t="str">
        <f t="shared" si="1"/>
        <v>mayank.mittal@gmail.com</v>
      </c>
      <c r="F5" s="2" t="s">
        <v>22</v>
      </c>
      <c r="G5" s="2">
        <v>37</v>
      </c>
      <c r="H5" s="2">
        <v>85</v>
      </c>
      <c r="I5" s="2">
        <v>72</v>
      </c>
      <c r="J5" s="1">
        <f t="shared" si="2"/>
        <v>194</v>
      </c>
      <c r="K5" s="1" t="str">
        <f t="shared" si="3"/>
        <v>Good</v>
      </c>
      <c r="M5" s="2" t="s">
        <v>33</v>
      </c>
      <c r="N5" s="2" t="s">
        <v>27</v>
      </c>
      <c r="O5" s="2">
        <v>70000</v>
      </c>
    </row>
    <row r="6" spans="1:24" x14ac:dyDescent="0.3">
      <c r="A6" s="2" t="s">
        <v>12</v>
      </c>
      <c r="B6" s="2" t="s">
        <v>13</v>
      </c>
      <c r="C6" s="1" t="str">
        <f t="shared" si="0"/>
        <v>kiran kumari</v>
      </c>
      <c r="D6" s="1" t="str">
        <f t="shared" si="1"/>
        <v>kiran.kumari@gmail.com</v>
      </c>
      <c r="F6" s="2" t="s">
        <v>23</v>
      </c>
      <c r="G6" s="2">
        <v>42</v>
      </c>
      <c r="H6" s="2">
        <v>90</v>
      </c>
      <c r="I6" s="2">
        <v>93</v>
      </c>
      <c r="J6" s="1">
        <f t="shared" si="2"/>
        <v>225</v>
      </c>
      <c r="K6" s="1" t="str">
        <f t="shared" si="3"/>
        <v>Excelleent</v>
      </c>
      <c r="M6" s="2" t="s">
        <v>34</v>
      </c>
      <c r="N6" s="2" t="s">
        <v>29</v>
      </c>
      <c r="O6" s="2">
        <v>60000</v>
      </c>
    </row>
    <row r="7" spans="1:24" x14ac:dyDescent="0.3">
      <c r="F7" s="1"/>
      <c r="G7" s="1">
        <f>SUMIF(G2:G6,"&gt;30",G2:G6)</f>
        <v>119</v>
      </c>
      <c r="H7" s="1">
        <f>AVERAGEIF(H2:H6,"&gt;60",H2:H6)</f>
        <v>80.333333333333329</v>
      </c>
      <c r="I7" s="1">
        <f>SUMIFS(I2:I6,I2:I6,"&gt;70",I2:I6,"&lt;80")</f>
        <v>72</v>
      </c>
      <c r="J7" s="1"/>
      <c r="K7" s="1"/>
      <c r="M7" s="2" t="s">
        <v>35</v>
      </c>
      <c r="N7" s="2" t="s">
        <v>27</v>
      </c>
      <c r="O7" s="2">
        <v>70000</v>
      </c>
    </row>
    <row r="8" spans="1:24" x14ac:dyDescent="0.3">
      <c r="M8" s="2" t="s">
        <v>36</v>
      </c>
      <c r="N8" s="2" t="s">
        <v>28</v>
      </c>
      <c r="O8" s="2">
        <v>40000</v>
      </c>
    </row>
    <row r="9" spans="1:24" x14ac:dyDescent="0.3">
      <c r="M9" s="2" t="s">
        <v>34</v>
      </c>
      <c r="N9" s="2" t="s">
        <v>27</v>
      </c>
      <c r="O9" s="2">
        <v>70000</v>
      </c>
    </row>
    <row r="10" spans="1:24" x14ac:dyDescent="0.3">
      <c r="M10" s="2" t="s">
        <v>37</v>
      </c>
      <c r="N10" s="2" t="s">
        <v>29</v>
      </c>
      <c r="O10" s="2">
        <v>60000</v>
      </c>
    </row>
    <row r="11" spans="1:24" x14ac:dyDescent="0.3">
      <c r="M11" s="2" t="s">
        <v>38</v>
      </c>
      <c r="N11" s="2" t="s">
        <v>27</v>
      </c>
      <c r="O11" s="2">
        <v>70000</v>
      </c>
    </row>
  </sheetData>
  <dataValidations count="1">
    <dataValidation type="list" allowBlank="1" showInputMessage="1" showErrorMessage="1" sqref="W2" xr:uid="{14C39628-0F41-4E18-9682-ACE80978FBAE}">
      <formula1>$R$2:$R$4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RAVINDRA PISAL</dc:creator>
  <cp:lastModifiedBy>SWAPNIL RAVINDRA PISAL</cp:lastModifiedBy>
  <dcterms:created xsi:type="dcterms:W3CDTF">2026-02-14T10:01:31Z</dcterms:created>
  <dcterms:modified xsi:type="dcterms:W3CDTF">2026-02-14T11:21:56Z</dcterms:modified>
</cp:coreProperties>
</file>