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n\Microsoft-Excel\"/>
    </mc:Choice>
  </mc:AlternateContent>
  <xr:revisionPtr revIDLastSave="0" documentId="13_ncr:1_{58BCA5C6-83C3-4C10-9A1E-38D68F9BBD14}" xr6:coauthVersionLast="47" xr6:coauthVersionMax="47" xr10:uidLastSave="{00000000-0000-0000-0000-000000000000}"/>
  <bookViews>
    <workbookView xWindow="-108" yWindow="-108" windowWidth="23256" windowHeight="12456" xr2:uid="{ABBC3F5B-00F2-4D8F-AD48-CCFA4483C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2" i="1"/>
  <c r="O2" i="1" a="1"/>
  <c r="O2" i="1" s="1"/>
  <c r="N2" i="1" a="1"/>
  <c r="N2" i="1" s="1"/>
  <c r="L5" i="1"/>
  <c r="L2" i="1"/>
  <c r="K5" i="1"/>
  <c r="K2" i="1"/>
  <c r="J5" i="1"/>
  <c r="J2" i="1"/>
  <c r="I5" i="1"/>
  <c r="I2" i="1"/>
  <c r="H5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<sst xmlns="http://schemas.openxmlformats.org/spreadsheetml/2006/main" count="62" uniqueCount="32">
  <si>
    <t>id</t>
  </si>
  <si>
    <t>name</t>
  </si>
  <si>
    <t>dept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</si>
  <si>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</si>
  <si>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</si>
  <si>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</si>
  <si>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</si>
  <si>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</si>
  <si>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</si>
  <si>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</si>
  <si>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</si>
  <si>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</si>
  <si>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</si>
  <si>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</si>
  <si>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x1</t>
  </si>
  <si>
    <t>x2</t>
  </si>
  <si>
    <t>x3</t>
  </si>
  <si>
    <t>columns</t>
  </si>
  <si>
    <t>count</t>
  </si>
  <si>
    <t>sum</t>
  </si>
  <si>
    <t>average</t>
  </si>
  <si>
    <t>min</t>
  </si>
  <si>
    <t>max</t>
  </si>
  <si>
    <t>NA</t>
  </si>
  <si>
    <t>base_salary</t>
  </si>
  <si>
    <t>incentives</t>
  </si>
  <si>
    <t>tds</t>
  </si>
  <si>
    <t>pf</t>
  </si>
  <si>
    <t>net salary</t>
  </si>
  <si>
    <t>attendance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</si>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</sst>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39994506668294322"/>
      </font>
    </dxf>
    <dxf>
      <font>
        <color theme="9" tint="-0.499984740745262"/>
      </font>
    </dxf>
    <dxf>
      <font>
        <color rgb="FFFF0000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120A-BBE5-4173-A0AD-0788EE4F1CD3}">
  <dimension ref="A1:Y11"/>
  <sheetViews>
    <sheetView tabSelected="1" workbookViewId="0">
      <selection activeCell="G14" sqref="G14"/>
    </sheetView>
  </sheetViews>
  <sheetFormatPr defaultRowHeight="14.4" x14ac:dyDescent="0.3"/>
  <cols>
    <col min="1" max="1" width="3.33203125" bestFit="1" customWidth="1"/>
    <col min="2" max="2" width="7.6640625" bestFit="1" customWidth="1"/>
    <col min="3" max="3" width="6.5546875" bestFit="1" customWidth="1"/>
    <col min="4" max="4" width="8" bestFit="1" customWidth="1"/>
    <col min="7" max="7" width="10.6640625" bestFit="1" customWidth="1"/>
    <col min="8" max="8" width="7.6640625" bestFit="1" customWidth="1"/>
    <col min="9" max="9" width="7" bestFit="1" customWidth="1"/>
    <col min="10" max="10" width="10.44140625" bestFit="1" customWidth="1"/>
    <col min="11" max="12" width="6" bestFit="1" customWidth="1"/>
    <col min="14" max="15" width="7.6640625" bestFit="1" customWidth="1"/>
    <col min="17" max="17" width="14.77734375" bestFit="1" customWidth="1"/>
    <col min="18" max="18" width="12.88671875" bestFit="1" customWidth="1"/>
    <col min="19" max="20" width="5" bestFit="1" customWidth="1"/>
    <col min="21" max="21" width="12.5546875" bestFit="1" customWidth="1"/>
    <col min="25" max="25" width="10.21875" bestFit="1" customWidth="1"/>
  </cols>
  <sheetData>
    <row r="1" spans="1:25" ht="19.8" x14ac:dyDescent="0.4">
      <c r="A1" s="2" t="s">
        <v>0</v>
      </c>
      <c r="B1" s="2" t="s">
        <v>1</v>
      </c>
      <c r="C1" s="2" t="s">
        <v>2</v>
      </c>
      <c r="D1" s="2" t="s">
        <v>3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N1" s="2" t="s">
        <v>1</v>
      </c>
      <c r="O1" s="2" t="s">
        <v>1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Y1" s="3" t="s">
        <v>29</v>
      </c>
    </row>
    <row r="2" spans="1:25" x14ac:dyDescent="0.3">
      <c r="A2" s="1">
        <v>1</v>
      </c>
      <c r="B2" s="1" t="s">
        <v>4</v>
      </c>
      <c r="C2" s="1" t="s">
        <v>14</v>
      </c>
      <c r="D2" s="3">
        <v>50000</v>
      </c>
      <c r="G2" s="1" t="s">
        <v>0</v>
      </c>
      <c r="H2" s="1">
        <f>COUNT(A2:A11)</f>
        <v>10</v>
      </c>
      <c r="I2" s="1">
        <f>SUM(A2:A11)</f>
        <v>55</v>
      </c>
      <c r="J2" s="1">
        <f>AVERAGE(A2:A11)</f>
        <v>5.5</v>
      </c>
      <c r="K2" s="1">
        <f>MIN(A2:A11)</f>
        <v>1</v>
      </c>
      <c r="L2" s="1">
        <f>MAX(A2:A11)</f>
        <v>10</v>
      </c>
      <c r="N2" s="1" t="str" cm="1">
        <f t="array" ref="N2:N11">UPPER(B2:B11)</f>
        <v>A</v>
      </c>
      <c r="O2" s="1" t="str" cm="1">
        <f t="array" ref="O2:O11">PROPER(B2:B11)</f>
        <v>A</v>
      </c>
      <c r="Q2" s="3">
        <v>25000</v>
      </c>
      <c r="R2" s="3">
        <v>10000</v>
      </c>
      <c r="S2" s="3">
        <v>2000</v>
      </c>
      <c r="T2" s="3">
        <v>1800</v>
      </c>
      <c r="U2" s="3">
        <f>SUM(Q2:R2)-SUM(S2:T2)</f>
        <v>31200</v>
      </c>
      <c r="Y2" s="1" t="s">
        <v>30</v>
      </c>
    </row>
    <row r="3" spans="1:25" x14ac:dyDescent="0.3">
      <c r="A3" s="1">
        <v>2</v>
      </c>
      <c r="B3" s="1" t="s">
        <v>5</v>
      </c>
      <c r="C3" s="1" t="s">
        <v>15</v>
      </c>
      <c r="D3" s="3">
        <v>30000</v>
      </c>
      <c r="G3" s="1" t="s">
        <v>1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N3" s="1" t="str">
        <v>B</v>
      </c>
      <c r="O3" s="1" t="str">
        <v>B</v>
      </c>
      <c r="Q3" s="3">
        <v>30000</v>
      </c>
      <c r="R3" s="3">
        <v>12000</v>
      </c>
      <c r="S3" s="3">
        <v>2000</v>
      </c>
      <c r="T3" s="3">
        <v>1800</v>
      </c>
      <c r="U3" s="3">
        <f t="shared" ref="U3:U11" si="0">SUM(Q3:R3)-SUM(S3:T3)</f>
        <v>38200</v>
      </c>
      <c r="Y3" s="1" t="s">
        <v>31</v>
      </c>
    </row>
    <row r="4" spans="1:25" x14ac:dyDescent="0.3">
      <c r="A4" s="1">
        <v>3</v>
      </c>
      <c r="B4" s="1" t="s">
        <v>6</v>
      </c>
      <c r="C4" s="1" t="s">
        <v>16</v>
      </c>
      <c r="D4" s="3">
        <v>40000</v>
      </c>
      <c r="G4" s="1" t="s">
        <v>2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N4" s="1" t="str">
        <v>C</v>
      </c>
      <c r="O4" s="1" t="str">
        <v>C</v>
      </c>
      <c r="Q4" s="3">
        <v>45000</v>
      </c>
      <c r="R4" s="3">
        <v>15000</v>
      </c>
      <c r="S4" s="3">
        <v>2000</v>
      </c>
      <c r="T4" s="3">
        <v>1800</v>
      </c>
      <c r="U4" s="3">
        <f t="shared" si="0"/>
        <v>56200</v>
      </c>
      <c r="Y4" s="1" t="s">
        <v>30</v>
      </c>
    </row>
    <row r="5" spans="1:25" x14ac:dyDescent="0.3">
      <c r="A5" s="1">
        <v>4</v>
      </c>
      <c r="B5" s="1" t="s">
        <v>7</v>
      </c>
      <c r="C5" s="1" t="s">
        <v>16</v>
      </c>
      <c r="D5" s="3">
        <v>40000</v>
      </c>
      <c r="G5" s="1" t="s">
        <v>3</v>
      </c>
      <c r="H5" s="1">
        <f>COUNT(D2:D11)</f>
        <v>10</v>
      </c>
      <c r="I5" s="1">
        <f>SUM(D2:D11)</f>
        <v>390000</v>
      </c>
      <c r="J5" s="1">
        <f>AVERAGE(D2:D11)</f>
        <v>39000</v>
      </c>
      <c r="K5" s="1">
        <f>MIN(D2:D11)</f>
        <v>30000</v>
      </c>
      <c r="L5" s="1">
        <f>MAX(D2:D11)</f>
        <v>50000</v>
      </c>
      <c r="N5" s="1" t="str">
        <v>D</v>
      </c>
      <c r="O5" s="1" t="str">
        <v>D</v>
      </c>
      <c r="Q5" s="3">
        <v>25000</v>
      </c>
      <c r="R5" s="3">
        <v>10000</v>
      </c>
      <c r="S5" s="3">
        <v>2000</v>
      </c>
      <c r="T5" s="3">
        <v>1800</v>
      </c>
      <c r="U5" s="3">
        <f t="shared" si="0"/>
        <v>31200</v>
      </c>
      <c r="Y5" s="1" t="s">
        <v>31</v>
      </c>
    </row>
    <row r="6" spans="1:25" x14ac:dyDescent="0.3">
      <c r="A6" s="1">
        <v>5</v>
      </c>
      <c r="B6" s="1" t="s">
        <v>8</v>
      </c>
      <c r="C6" s="1" t="s">
        <v>15</v>
      </c>
      <c r="D6" s="3">
        <v>30000</v>
      </c>
      <c r="N6" s="1" t="str">
        <v>E</v>
      </c>
      <c r="O6" s="1" t="str">
        <v>E</v>
      </c>
      <c r="Q6" s="3">
        <v>30000</v>
      </c>
      <c r="R6" s="3">
        <v>12000</v>
      </c>
      <c r="S6" s="3">
        <v>2000</v>
      </c>
      <c r="T6" s="3">
        <v>1800</v>
      </c>
      <c r="U6" s="3">
        <f t="shared" si="0"/>
        <v>38200</v>
      </c>
      <c r="Y6" s="1" t="s">
        <v>30</v>
      </c>
    </row>
    <row r="7" spans="1:25" x14ac:dyDescent="0.3">
      <c r="A7" s="1">
        <v>6</v>
      </c>
      <c r="B7" s="1" t="s">
        <v>9</v>
      </c>
      <c r="C7" s="1" t="s">
        <v>14</v>
      </c>
      <c r="D7" s="3">
        <v>50000</v>
      </c>
      <c r="N7" s="1" t="str">
        <v>F</v>
      </c>
      <c r="O7" s="1" t="str">
        <v>F</v>
      </c>
      <c r="Q7" s="3">
        <v>45000</v>
      </c>
      <c r="R7" s="3">
        <v>15000</v>
      </c>
      <c r="S7" s="3">
        <v>2000</v>
      </c>
      <c r="T7" s="3">
        <v>1800</v>
      </c>
      <c r="U7" s="3">
        <f t="shared" si="0"/>
        <v>56200</v>
      </c>
      <c r="Y7" s="1" t="s">
        <v>30</v>
      </c>
    </row>
    <row r="8" spans="1:25" x14ac:dyDescent="0.3">
      <c r="A8" s="1">
        <v>7</v>
      </c>
      <c r="B8" s="1" t="s">
        <v>10</v>
      </c>
      <c r="C8" s="1" t="s">
        <v>15</v>
      </c>
      <c r="D8" s="3">
        <v>30000</v>
      </c>
      <c r="N8" s="1" t="str">
        <v>G</v>
      </c>
      <c r="O8" s="1" t="str">
        <v>G</v>
      </c>
      <c r="Q8" s="3">
        <v>25000</v>
      </c>
      <c r="R8" s="3">
        <v>10000</v>
      </c>
      <c r="S8" s="3">
        <v>2000</v>
      </c>
      <c r="T8" s="3">
        <v>1800</v>
      </c>
      <c r="U8" s="3">
        <f t="shared" si="0"/>
        <v>31200</v>
      </c>
      <c r="Y8" s="1" t="s">
        <v>31</v>
      </c>
    </row>
    <row r="9" spans="1:25" x14ac:dyDescent="0.3">
      <c r="A9" s="1">
        <v>8</v>
      </c>
      <c r="B9" s="1" t="s">
        <v>11</v>
      </c>
      <c r="C9" s="1" t="s">
        <v>16</v>
      </c>
      <c r="D9" s="3">
        <v>40000</v>
      </c>
      <c r="N9" s="1" t="str">
        <v>H</v>
      </c>
      <c r="O9" s="1" t="str">
        <v>H</v>
      </c>
      <c r="Q9" s="3">
        <v>30000</v>
      </c>
      <c r="R9" s="3">
        <v>12000</v>
      </c>
      <c r="S9" s="3">
        <v>2000</v>
      </c>
      <c r="T9" s="3">
        <v>1800</v>
      </c>
      <c r="U9" s="3">
        <f t="shared" si="0"/>
        <v>38200</v>
      </c>
      <c r="Y9" s="1" t="s">
        <v>30</v>
      </c>
    </row>
    <row r="10" spans="1:25" x14ac:dyDescent="0.3">
      <c r="A10" s="1">
        <v>9</v>
      </c>
      <c r="B10" s="1" t="s">
        <v>12</v>
      </c>
      <c r="C10" s="1" t="s">
        <v>16</v>
      </c>
      <c r="D10" s="3">
        <v>40000</v>
      </c>
      <c r="N10" s="1" t="str">
        <v>I</v>
      </c>
      <c r="O10" s="1" t="str">
        <v>I</v>
      </c>
      <c r="Q10" s="3">
        <v>45000</v>
      </c>
      <c r="R10" s="3">
        <v>15000</v>
      </c>
      <c r="S10" s="3">
        <v>2000</v>
      </c>
      <c r="T10" s="3">
        <v>1800</v>
      </c>
      <c r="U10" s="3">
        <f t="shared" si="0"/>
        <v>56200</v>
      </c>
      <c r="Y10" s="1" t="s">
        <v>31</v>
      </c>
    </row>
    <row r="11" spans="1:25" x14ac:dyDescent="0.3">
      <c r="A11" s="1">
        <v>10</v>
      </c>
      <c r="B11" s="1" t="s">
        <v>13</v>
      </c>
      <c r="C11" s="1" t="s">
        <v>16</v>
      </c>
      <c r="D11" s="3">
        <v>40000</v>
      </c>
      <c r="N11" s="1" t="str">
        <v>J</v>
      </c>
      <c r="O11" s="1" t="str">
        <v>J</v>
      </c>
      <c r="Q11" s="3">
        <v>40000</v>
      </c>
      <c r="R11" s="3">
        <v>14000</v>
      </c>
      <c r="S11" s="3">
        <v>2000</v>
      </c>
      <c r="T11" s="3">
        <v>1800</v>
      </c>
      <c r="U11" s="3">
        <f t="shared" si="0"/>
        <v>50200</v>
      </c>
      <c r="Y11" s="1" t="s">
        <v>30</v>
      </c>
    </row>
  </sheetData>
  <conditionalFormatting sqref="U2:U11">
    <cfRule type="cellIs" dxfId="7" priority="3" operator="between">
      <formula>35000</formula>
      <formula>50000</formula>
    </cfRule>
    <cfRule type="cellIs" dxfId="6" priority="4" operator="lessThan">
      <formula>35000</formula>
    </cfRule>
    <cfRule type="cellIs" dxfId="5" priority="5" operator="lessThan">
      <formula>30000</formula>
    </cfRule>
    <cfRule type="cellIs" dxfId="4" priority="6" operator="lessThan">
      <formula>30000</formula>
    </cfRule>
    <cfRule type="cellIs" dxfId="3" priority="7" operator="lessThan">
      <formula>35000</formula>
    </cfRule>
    <cfRule type="cellIs" dxfId="2" priority="8" operator="greaterThan">
      <formula>50000</formula>
    </cfRule>
  </conditionalFormatting>
  <conditionalFormatting sqref="Y2:Y11">
    <cfRule type="cellIs" dxfId="1" priority="1" operator="equal">
      <formula>"absent"</formula>
    </cfRule>
    <cfRule type="cellIs" dxfId="0" priority="2" operator="equal">
      <formula>"present"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RAVINDRA PISAL</dc:creator>
  <cp:lastModifiedBy>SWAPNIL RAVINDRA PISAL</cp:lastModifiedBy>
  <dcterms:created xsi:type="dcterms:W3CDTF">2026-02-13T10:00:17Z</dcterms:created>
  <dcterms:modified xsi:type="dcterms:W3CDTF">2026-02-14T11:06:06Z</dcterms:modified>
</cp:coreProperties>
</file>